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tara\Dropbox\misc-projects\Quetelet\data\"/>
    </mc:Choice>
  </mc:AlternateContent>
  <xr:revisionPtr revIDLastSave="0" documentId="13_ncr:1_{9E1FE617-91A1-4076-B8EF-74F67E2FFB4A}" xr6:coauthVersionLast="47" xr6:coauthVersionMax="47" xr10:uidLastSave="{00000000-0000-0000-0000-000000000000}"/>
  <bookViews>
    <workbookView xWindow="2295" yWindow="2295" windowWidth="24660" windowHeight="10950" xr2:uid="{F0BA759E-41DE-4086-86C9-36A589D02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7" i="1"/>
  <c r="G8" i="1"/>
  <c r="D8" i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D7" i="1"/>
  <c r="G7" i="1" s="1"/>
</calcChain>
</file>

<file path=xl/sharedStrings.xml><?xml version="1.0" encoding="utf-8"?>
<sst xmlns="http://schemas.openxmlformats.org/spreadsheetml/2006/main" count="30" uniqueCount="30">
  <si>
    <t>Table 3   COVID-19 and Non-COVD-19 Deaths in 2020 and 2015–2019 (Females) Designated Time Period</t>
  </si>
  <si>
    <t>Age</t>
  </si>
  <si>
    <t>All Cause Female</t>
  </si>
  <si>
    <t>Percentage of Deaths</t>
  </si>
  <si>
    <t>Female</t>
  </si>
  <si>
    <t>All Cause Female Deaths</t>
  </si>
  <si>
    <t>Average Female</t>
  </si>
  <si>
    <t>Cohort</t>
  </si>
  <si>
    <t>Deaths (2020)</t>
  </si>
  <si>
    <t>Female Deaths (2020)</t>
  </si>
  <si>
    <t>Attributed to COVID-19</t>
  </si>
  <si>
    <t>Population</t>
  </si>
  <si>
    <t>Average (2015–19)</t>
  </si>
  <si>
    <t>Population (2015–</t>
  </si>
  <si>
    <t>19)</t>
  </si>
  <si>
    <t>&lt; 1</t>
  </si>
  <si>
    <t>1–4</t>
  </si>
  <si>
    <t>5–14</t>
  </si>
  <si>
    <t>15–24</t>
  </si>
  <si>
    <t>25–34</t>
  </si>
  <si>
    <t>35–44</t>
  </si>
  <si>
    <t>45–54</t>
  </si>
  <si>
    <t>55–64</t>
  </si>
  <si>
    <t>65–74</t>
  </si>
  <si>
    <t>75–84</t>
  </si>
  <si>
    <t>85+</t>
  </si>
  <si>
    <t>Total</t>
  </si>
  <si>
    <t>Non-COVID-Fem-Death</t>
  </si>
  <si>
    <t>Covid Fem Deaths</t>
  </si>
  <si>
    <t>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</si>
</sst>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DD7A-6F99-4B6A-9936-C495DDED3AD2}">
  <dimension ref="A1:J18"/>
  <sheetViews>
    <sheetView tabSelected="1" topLeftCell="A3" workbookViewId="0">
      <selection activeCell="C9" sqref="C9"/>
    </sheetView>
  </sheetViews>
  <sheetFormatPr defaultRowHeight="15" x14ac:dyDescent="0.25"/>
  <cols>
    <col min="2" max="2" width="14.7109375" customWidth="1"/>
    <col min="3" max="5" width="21.140625" customWidth="1"/>
    <col min="6" max="7" width="18.5703125" customWidth="1"/>
    <col min="8" max="8" width="15.85546875" customWidth="1"/>
    <col min="9" max="9" width="22.28515625" customWidth="1"/>
    <col min="10" max="10" width="14.7109375" customWidth="1"/>
  </cols>
  <sheetData>
    <row r="1" spans="1:10" x14ac:dyDescent="0.25">
      <c r="A1" t="s">
        <v>0</v>
      </c>
    </row>
    <row r="3" spans="1:10" x14ac:dyDescent="0.25">
      <c r="B3" t="s">
        <v>2</v>
      </c>
      <c r="F3" t="s">
        <v>3</v>
      </c>
      <c r="H3" t="s">
        <v>4</v>
      </c>
      <c r="I3" t="s">
        <v>5</v>
      </c>
      <c r="J3" t="s">
        <v>6</v>
      </c>
    </row>
    <row r="4" spans="1:10" x14ac:dyDescent="0.25">
      <c r="A4" t="s">
        <v>7</v>
      </c>
      <c r="B4" t="s">
        <v>8</v>
      </c>
      <c r="C4" t="s">
        <v>9</v>
      </c>
      <c r="F4" t="s">
        <v>10</v>
      </c>
      <c r="H4" t="s">
        <v>11</v>
      </c>
      <c r="I4" t="s">
        <v>12</v>
      </c>
      <c r="J4" t="s">
        <v>13</v>
      </c>
    </row>
    <row r="5" spans="1:10" x14ac:dyDescent="0.25">
      <c r="F5">
        <v>-2020</v>
      </c>
      <c r="H5">
        <v>-2020</v>
      </c>
      <c r="J5" t="s">
        <v>14</v>
      </c>
    </row>
    <row r="6" spans="1:10" x14ac:dyDescent="0.25">
      <c r="A6" t="s">
        <v>1</v>
      </c>
      <c r="C6" t="s">
        <v>27</v>
      </c>
      <c r="D6" t="s">
        <v>28</v>
      </c>
      <c r="E6" t="s">
        <v>29</v>
      </c>
    </row>
    <row r="7" spans="1:10" x14ac:dyDescent="0.25">
      <c r="A7" t="s">
        <v>15</v>
      </c>
      <c r="B7">
        <v>6434</v>
      </c>
      <c r="C7">
        <v>6420</v>
      </c>
      <c r="D7">
        <f>B7-C7</f>
        <v>14</v>
      </c>
      <c r="E7" s="2">
        <f>H7-B7</f>
        <v>2010149</v>
      </c>
      <c r="F7" s="1">
        <v>2.2000000000000001E-3</v>
      </c>
      <c r="G7" s="1">
        <f>D7/C7</f>
        <v>2.1806853582554517E-3</v>
      </c>
      <c r="H7" s="2">
        <v>2016583</v>
      </c>
      <c r="I7">
        <v>7403</v>
      </c>
      <c r="J7" s="2">
        <v>1980868</v>
      </c>
    </row>
    <row r="8" spans="1:10" x14ac:dyDescent="0.25">
      <c r="A8" t="s">
        <v>16</v>
      </c>
      <c r="B8">
        <v>1082</v>
      </c>
      <c r="C8">
        <v>1073</v>
      </c>
      <c r="D8">
        <f t="shared" ref="D8:D18" si="0">B8-C8</f>
        <v>9</v>
      </c>
      <c r="E8" s="2">
        <f t="shared" ref="E8:E18" si="1">H8-B8</f>
        <v>8029828</v>
      </c>
      <c r="F8" s="1">
        <v>8.3000000000000001E-3</v>
      </c>
      <c r="G8" s="1">
        <f t="shared" ref="G8:G18" si="2">D8/C8</f>
        <v>8.3876980428704562E-3</v>
      </c>
      <c r="H8" s="2">
        <v>8030910</v>
      </c>
      <c r="I8">
        <v>1244</v>
      </c>
      <c r="J8" s="2">
        <v>7877762</v>
      </c>
    </row>
    <row r="9" spans="1:10" x14ac:dyDescent="0.25">
      <c r="A9" t="s">
        <v>17</v>
      </c>
      <c r="B9">
        <v>1676</v>
      </c>
      <c r="C9">
        <v>1655</v>
      </c>
      <c r="D9">
        <f t="shared" si="0"/>
        <v>21</v>
      </c>
      <c r="E9" s="2">
        <f t="shared" si="1"/>
        <v>20062584</v>
      </c>
      <c r="F9" s="1">
        <v>1.2500000000000001E-2</v>
      </c>
      <c r="G9" s="1">
        <f t="shared" si="2"/>
        <v>1.2688821752265862E-2</v>
      </c>
      <c r="H9" s="2">
        <v>20064260</v>
      </c>
      <c r="I9">
        <v>1704</v>
      </c>
      <c r="J9" s="2">
        <v>20070928</v>
      </c>
    </row>
    <row r="10" spans="1:10" x14ac:dyDescent="0.25">
      <c r="A10" t="s">
        <v>18</v>
      </c>
      <c r="B10">
        <v>7173</v>
      </c>
      <c r="C10">
        <v>6977</v>
      </c>
      <c r="D10">
        <f t="shared" si="0"/>
        <v>196</v>
      </c>
      <c r="E10" s="2">
        <f t="shared" si="1"/>
        <v>21050729</v>
      </c>
      <c r="F10" s="1">
        <v>2.7300000000000001E-2</v>
      </c>
      <c r="G10" s="1">
        <f t="shared" si="2"/>
        <v>2.8092303282212985E-2</v>
      </c>
      <c r="H10" s="2">
        <v>21057902</v>
      </c>
      <c r="I10">
        <v>6198</v>
      </c>
      <c r="J10" s="2">
        <v>21177766</v>
      </c>
    </row>
    <row r="11" spans="1:10" x14ac:dyDescent="0.25">
      <c r="A11" t="s">
        <v>19</v>
      </c>
      <c r="B11" s="2">
        <v>16532</v>
      </c>
      <c r="C11" s="2">
        <v>15777</v>
      </c>
      <c r="D11">
        <f t="shared" si="0"/>
        <v>755</v>
      </c>
      <c r="E11" s="2">
        <f t="shared" si="1"/>
        <v>22931127</v>
      </c>
      <c r="F11" s="1">
        <v>4.5699999999999998E-2</v>
      </c>
      <c r="G11" s="1">
        <f t="shared" si="2"/>
        <v>4.785447169930912E-2</v>
      </c>
      <c r="H11" s="2">
        <v>22947659</v>
      </c>
      <c r="I11" s="2">
        <v>12966</v>
      </c>
      <c r="J11" s="2">
        <v>22327934</v>
      </c>
    </row>
    <row r="12" spans="1:10" x14ac:dyDescent="0.25">
      <c r="A12" t="s">
        <v>20</v>
      </c>
      <c r="B12" s="2">
        <v>27228</v>
      </c>
      <c r="C12" s="2">
        <v>25474</v>
      </c>
      <c r="D12">
        <f t="shared" si="0"/>
        <v>1754</v>
      </c>
      <c r="E12" s="2">
        <f t="shared" si="1"/>
        <v>21229617</v>
      </c>
      <c r="F12" s="1">
        <v>6.4399999999999999E-2</v>
      </c>
      <c r="G12" s="1">
        <f t="shared" si="2"/>
        <v>6.8854518332417361E-2</v>
      </c>
      <c r="H12" s="2">
        <v>21256845</v>
      </c>
      <c r="I12" s="2">
        <v>21305</v>
      </c>
      <c r="J12" s="2">
        <v>20570072</v>
      </c>
    </row>
    <row r="13" spans="1:10" x14ac:dyDescent="0.25">
      <c r="A13" t="s">
        <v>21</v>
      </c>
      <c r="B13" s="2">
        <v>53144</v>
      </c>
      <c r="C13" s="2">
        <v>48565</v>
      </c>
      <c r="D13">
        <f t="shared" si="0"/>
        <v>4579</v>
      </c>
      <c r="E13" s="2">
        <f t="shared" si="1"/>
        <v>20597296</v>
      </c>
      <c r="F13" s="1">
        <v>8.6199999999999999E-2</v>
      </c>
      <c r="G13" s="1">
        <f t="shared" si="2"/>
        <v>9.4286008442293831E-2</v>
      </c>
      <c r="H13" s="2">
        <v>20650440</v>
      </c>
      <c r="I13" s="2">
        <v>48390</v>
      </c>
      <c r="J13" s="2">
        <v>21416787</v>
      </c>
    </row>
    <row r="14" spans="1:10" x14ac:dyDescent="0.25">
      <c r="A14" t="s">
        <v>22</v>
      </c>
      <c r="B14" s="2">
        <v>125269</v>
      </c>
      <c r="C14" s="2">
        <v>113250</v>
      </c>
      <c r="D14">
        <f t="shared" si="0"/>
        <v>12019</v>
      </c>
      <c r="E14" s="2">
        <f t="shared" si="1"/>
        <v>22096052</v>
      </c>
      <c r="F14" s="1">
        <v>9.5899999999999999E-2</v>
      </c>
      <c r="G14" s="1">
        <f t="shared" si="2"/>
        <v>0.1061280353200883</v>
      </c>
      <c r="H14" s="2">
        <v>22221321</v>
      </c>
      <c r="I14" s="2">
        <v>106091</v>
      </c>
      <c r="J14" s="2">
        <v>21752162</v>
      </c>
    </row>
    <row r="15" spans="1:10" x14ac:dyDescent="0.25">
      <c r="A15" t="s">
        <v>23</v>
      </c>
      <c r="B15" s="2">
        <v>207333</v>
      </c>
      <c r="C15" s="2">
        <v>183905</v>
      </c>
      <c r="D15">
        <f t="shared" si="0"/>
        <v>23428</v>
      </c>
      <c r="E15" s="2">
        <f t="shared" si="1"/>
        <v>17400690</v>
      </c>
      <c r="F15" s="1">
        <v>0.113</v>
      </c>
      <c r="G15" s="1">
        <f t="shared" si="2"/>
        <v>0.12739185992768004</v>
      </c>
      <c r="H15" s="2">
        <v>17608023</v>
      </c>
      <c r="I15" s="2">
        <v>164330</v>
      </c>
      <c r="J15" s="2">
        <v>15829518</v>
      </c>
    </row>
    <row r="16" spans="1:10" x14ac:dyDescent="0.25">
      <c r="A16" t="s">
        <v>24</v>
      </c>
      <c r="B16" s="2">
        <v>287723</v>
      </c>
      <c r="C16" s="2">
        <v>253805</v>
      </c>
      <c r="D16">
        <f t="shared" si="0"/>
        <v>33918</v>
      </c>
      <c r="E16" s="2">
        <f t="shared" si="1"/>
        <v>9030715</v>
      </c>
      <c r="F16" s="1">
        <v>0.1179</v>
      </c>
      <c r="G16" s="1">
        <f t="shared" si="2"/>
        <v>0.13363802919564233</v>
      </c>
      <c r="H16" s="2">
        <v>9318438</v>
      </c>
      <c r="I16" s="2">
        <v>232697</v>
      </c>
      <c r="J16" s="2">
        <v>8398757</v>
      </c>
    </row>
    <row r="17" spans="1:10" x14ac:dyDescent="0.25">
      <c r="A17" t="s">
        <v>25</v>
      </c>
      <c r="B17" s="2">
        <v>450825</v>
      </c>
      <c r="C17" s="2">
        <v>398990</v>
      </c>
      <c r="D17">
        <f t="shared" si="0"/>
        <v>51835</v>
      </c>
      <c r="E17" s="2">
        <f t="shared" si="1"/>
        <v>3843833</v>
      </c>
      <c r="F17" s="1">
        <v>0.115</v>
      </c>
      <c r="G17" s="1">
        <f t="shared" si="2"/>
        <v>0.12991553673024386</v>
      </c>
      <c r="H17" s="2">
        <v>4294658</v>
      </c>
      <c r="I17" s="2">
        <v>386346</v>
      </c>
      <c r="J17" s="2">
        <v>4192508</v>
      </c>
    </row>
    <row r="18" spans="1:10" x14ac:dyDescent="0.25">
      <c r="A18" t="s">
        <v>26</v>
      </c>
      <c r="B18" s="2">
        <v>1184419</v>
      </c>
      <c r="C18" s="2">
        <v>1055891</v>
      </c>
      <c r="D18">
        <f t="shared" si="0"/>
        <v>128528</v>
      </c>
      <c r="E18" s="2">
        <f t="shared" si="1"/>
        <v>168282620</v>
      </c>
      <c r="F18" s="1">
        <v>0.1085</v>
      </c>
      <c r="G18" s="1">
        <f t="shared" si="2"/>
        <v>0.12172468559728229</v>
      </c>
      <c r="H18" s="2">
        <v>169467039</v>
      </c>
      <c r="I18" s="2">
        <v>988675</v>
      </c>
      <c r="J18" s="2">
        <v>165595063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Delta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Zina Taran</dc:creator>
  <cp:lastModifiedBy>ZT</cp:lastModifiedBy>
  <dcterms:created xsi:type="dcterms:W3CDTF">2025-01-03T23:19:57Z</dcterms:created>
  <dcterms:modified xsi:type="dcterms:W3CDTF">2025-01-14T00:56:51Z</dcterms:modified>
</cp:coreProperties>
</file>